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96b4c67a2a15d8/Documentos/EITI/Trabajo Final/Memoria/"/>
    </mc:Choice>
  </mc:AlternateContent>
  <xr:revisionPtr revIDLastSave="77" documentId="8_{E7FE0E2D-C547-4DBD-9FB5-FF278A2660DB}" xr6:coauthVersionLast="47" xr6:coauthVersionMax="47" xr10:uidLastSave="{7C94E24F-B7AE-4F8B-8DB8-B9B786727A93}"/>
  <bookViews>
    <workbookView xWindow="-120" yWindow="-120" windowWidth="29040" windowHeight="15720" xr2:uid="{00000000-000D-0000-FFFF-FFFF00000000}"/>
  </bookViews>
  <sheets>
    <sheet name="Estructu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/>
</calcChain>
</file>

<file path=xl/sharedStrings.xml><?xml version="1.0" encoding="utf-8"?>
<sst xmlns="http://schemas.openxmlformats.org/spreadsheetml/2006/main" count="86" uniqueCount="86">
  <si>
    <t>Nombre del Director:</t>
  </si>
  <si>
    <t>Correo del Director:</t>
  </si>
  <si>
    <t>1) Resumen:</t>
  </si>
  <si>
    <t>2) Estructura:</t>
  </si>
  <si>
    <t>Descripción detallada</t>
  </si>
  <si>
    <t>Nombre del capítulo</t>
  </si>
  <si>
    <t>Secciones</t>
  </si>
  <si>
    <t>Páginas estimadas</t>
  </si>
  <si>
    <t>Descripción del contenido</t>
  </si>
  <si>
    <t>Detalle de las figuras a incluir</t>
  </si>
  <si>
    <t>Detalle de las tablas a incluir</t>
  </si>
  <si>
    <t>1. Introducción General</t>
  </si>
  <si>
    <t>1.2. Motivación</t>
  </si>
  <si>
    <t>2. Introducción Específica</t>
  </si>
  <si>
    <t>2.2. Requerimientos</t>
  </si>
  <si>
    <t>2.3 Planificación</t>
  </si>
  <si>
    <t>3. Diseño e Implementación</t>
  </si>
  <si>
    <t>4. Ensayos y Resultados</t>
  </si>
  <si>
    <t>4.2. B</t>
  </si>
  <si>
    <t>5. Conclusiones</t>
  </si>
  <si>
    <t>5.1. Resultados obtenidos</t>
  </si>
  <si>
    <t>5.2. Trabajo futuro</t>
  </si>
  <si>
    <t>Total de páginas</t>
  </si>
  <si>
    <t>1.1. Descripción del problema</t>
  </si>
  <si>
    <t>Subsecciones</t>
  </si>
  <si>
    <t>Se plantea el proyecto del cliente de tener una cadena de bares de vino y un sistema a medida que permita gestionarlos.</t>
  </si>
  <si>
    <t>1.2. Estado del arte</t>
  </si>
  <si>
    <t>Se plantean otras aplicaciones comunes para gestión de bares.</t>
  </si>
  <si>
    <t xml:space="preserve">Se plantean objetivos a largo plazo (proyecto del cliente). Se plantea la primer etapa (esta memoria técnica) v1. </t>
  </si>
  <si>
    <t>2.1. Vitte</t>
  </si>
  <si>
    <t>Máquinas dispensadoras</t>
  </si>
  <si>
    <t>Nube</t>
  </si>
  <si>
    <t>2.2 Tecnología RFID</t>
  </si>
  <si>
    <t>2.1. Aplicaciones Web</t>
  </si>
  <si>
    <t>Se explica el funcionamiento de las máquinas dispensadoras de vino</t>
  </si>
  <si>
    <t>Se explica el funcionamiento de la API de Vitte</t>
  </si>
  <si>
    <t>Se explica el funcionamiento de esta tecnología y su uso previsto</t>
  </si>
  <si>
    <t>- Se presenta el concepto de virtualización.
- Se explican las ventajas relativas al aislamiento entre componentes.
- Se presenta Docker como una opción de virtualización con poca perdida de rendimiento.
- Se explica brevemente el sistema de archivos efímeros de Docker y el uso del DockerFile para preconfigurar la imagen del contenedor.</t>
  </si>
  <si>
    <t>2.3.1 Requisitos funcionales del equipo</t>
  </si>
  <si>
    <t>2.3.2 Requisitos no funcionales del equipo</t>
  </si>
  <si>
    <t>2.3.2 Restricciones del equipo</t>
  </si>
  <si>
    <t>2.3.3 Casos de uso</t>
  </si>
  <si>
    <t>Se detallan las funciones que debe implementar tanto el hardware como el firmware del equipo a desarrollar</t>
  </si>
  <si>
    <t>Se detallan caracteristicas adicionales que no impactan direcatmente en la funcionalidad brindada al usuario que debe tener tanto el hardware como del firmware del equipo a desarrollar.</t>
  </si>
  <si>
    <t>Se detallan las restricciones impuestas por el cliente el proceso de desarollo, materiales y caracteristicas del equipo a desarrollar</t>
  </si>
  <si>
    <t>Se describen los casos de uso principales del equpo</t>
  </si>
  <si>
    <t>Análisis de Riesgos</t>
  </si>
  <si>
    <t>Vista general</t>
  </si>
  <si>
    <t>Diseño de Base de datos</t>
  </si>
  <si>
    <t>Planteo el diseño de la base de datos relacional</t>
  </si>
  <si>
    <t>Conexión con API de Vitte</t>
  </si>
  <si>
    <t>Flujo de autenticación principal</t>
  </si>
  <si>
    <t>Planteo del flujo de aut principal de la app (servidor de claves)</t>
  </si>
  <si>
    <t>Se plantea un diagrama generico de componentes web para introducir los conceptos de frontend, backend, api y db. Fastapi y node.</t>
  </si>
  <si>
    <t>Planteo del flujo de desarrollo en componentes</t>
  </si>
  <si>
    <t>Formas de uso esperadas</t>
  </si>
  <si>
    <t>Flujo del cliente</t>
  </si>
  <si>
    <t>Mg. Ing. Esteban Volentini</t>
  </si>
  <si>
    <t>evolentini@herrera.unt.edu.ar</t>
  </si>
  <si>
    <t>Este documento explica el proceso de diseño de una aplicación web para gestionar las ventas de un bar: Altacava Winebar. En él se venderán vinos y tapas españolas. Para ello, los clientes usaran tarjetas plásticas RFID. Los vinos seran dispensados por máquinas dispensadoras automáticas, gestionadas por el mismo cliente. Para las tapas, habrá una persona a la que podrán hacerle el pedido. 
A corto plazo, se espera la inauguración Altacava Winebar con la primer versión funcional de esta aplicación. A mediano y largo plazo, se espera que la aplicación permita gestionar múltiples sucursales.</t>
  </si>
  <si>
    <t>2.2. Virtualización ligera con contenedores (puede ir antes o desp de vitte)</t>
  </si>
  <si>
    <t>Se plantea la necesidad del cliente de armar un sistema alrededor del uso de tarjetas RFID y de máquinas dispensadores de vino Vitte.</t>
  </si>
  <si>
    <t>- Bloques constructivos de la solución. 
- Planteo de la arquitectura de la app en docker, nodos y usuarios.</t>
  </si>
  <si>
    <t xml:space="preserve">Para llevar a cabo este trabajo, fueron de suma importancia los conocimientos adquiridos a lo largo de la carrera. En particular, se hizo uso de técnicas de gestión de proyecto e ingeniería de software; herramientas de diseño relacional y conocimiento de redes. También se necesitó un proceso de investigación acerca de tecnologías en el mercado y aprendizaje de las mismas. </t>
  </si>
  <si>
    <t>- Quiénes son los usuarios del sistema?
- Para cuantos usuarios está pensado el sistema, y de donde accederan al sistema
- Qué debe poder hacer cada usuario, y qué cosas no</t>
  </si>
  <si>
    <t>1.3. Alcance y objetivos</t>
  </si>
  <si>
    <t>1.3.1. Alcance</t>
  </si>
  <si>
    <t>1.3.2. Objetivos</t>
  </si>
  <si>
    <t>3.4.1 Actores</t>
  </si>
  <si>
    <t>3.4.2 Diagrama de Contexto</t>
  </si>
  <si>
    <t>3.4.3 Diagrama de Casos de Uso</t>
  </si>
  <si>
    <t>3.4.4 Descripción textual de los casos de uso más importantes para el funcionamiento del sistema</t>
  </si>
  <si>
    <t>- Caso de Uso: Reutilizar ultimo Programa
- Caso de uso: modificar a partir del último
- Caso de uso: modificar a partir del ultimo (presentar)
- Caso de uso: crear nuevo programa (guardar borrador)
- Caso de uso: crear nuevo programa (presentar)
- Caso de uso: modificar programa
- Caso de uso: modificar programa (presentar)
- Caso de uso: pedir cambios programa
- Caso de uso: Aprobar cambios programa
- Iniciar sesion / crear cuenta
- Generar matriz de tributacion</t>
  </si>
  <si>
    <t>4.1. Matriz de riesgos</t>
  </si>
  <si>
    <t>3.2. Arquitectura propuesta</t>
  </si>
  <si>
    <t>3.1. Casos de uso</t>
  </si>
  <si>
    <t>3.3. Consideraciones de autenticación</t>
  </si>
  <si>
    <t>3.4. Consideraciones de red</t>
  </si>
  <si>
    <t>Uso de lectores sin asociar</t>
  </si>
  <si>
    <t>Uso de lectores con asociación</t>
  </si>
  <si>
    <t>Display Cliente</t>
  </si>
  <si>
    <t>3.5. Consideraciones de la terminal de tapeo</t>
  </si>
  <si>
    <t>3.6. Desarrollo backend</t>
  </si>
  <si>
    <t>3.7. Desarrollo frontend</t>
  </si>
  <si>
    <t>dfgvdfgfdgdf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</si>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</sst>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5" fillId="3" borderId="1" xfId="0" quotePrefix="1" applyFont="1" applyFill="1" applyBorder="1" applyAlignment="1">
      <alignment wrapText="1"/>
    </xf>
    <xf numFmtId="0" fontId="5" fillId="2" borderId="1" xfId="0" quotePrefix="1" applyFont="1" applyFill="1" applyBorder="1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/>
    <xf numFmtId="0" fontId="2" fillId="0" borderId="0" xfId="0" quotePrefix="1" applyFont="1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6"/>
  <sheetViews>
    <sheetView tabSelected="1" topLeftCell="A38" workbookViewId="0">
      <selection activeCell="F41" sqref="F41"/>
    </sheetView>
  </sheetViews>
  <sheetFormatPr defaultColWidth="12.7109375" defaultRowHeight="15.75" customHeight="1" x14ac:dyDescent="0.2"/>
  <cols>
    <col min="1" max="1" width="24.42578125" customWidth="1"/>
    <col min="2" max="2" width="34" bestFit="1" customWidth="1"/>
    <col min="3" max="3" width="35.140625" customWidth="1"/>
    <col min="4" max="4" width="17.28515625" bestFit="1" customWidth="1"/>
    <col min="5" max="5" width="46.7109375" customWidth="1"/>
    <col min="6" max="6" width="35.7109375" customWidth="1"/>
  </cols>
  <sheetData>
    <row r="1" spans="1:7" ht="15.75" customHeight="1" x14ac:dyDescent="0.2">
      <c r="A1" s="1"/>
      <c r="B1" s="2"/>
      <c r="C1" s="2"/>
      <c r="E1" s="3"/>
      <c r="F1" s="3"/>
    </row>
    <row r="2" spans="1:7" ht="15.75" customHeight="1" x14ac:dyDescent="0.2">
      <c r="A2" s="1" t="s">
        <v>0</v>
      </c>
      <c r="B2" s="2" t="s">
        <v>57</v>
      </c>
      <c r="C2" s="2"/>
      <c r="E2" s="3"/>
      <c r="F2" s="3"/>
    </row>
    <row r="3" spans="1:7" ht="15.75" customHeight="1" x14ac:dyDescent="0.2">
      <c r="A3" s="1" t="s">
        <v>1</v>
      </c>
      <c r="B3" s="2" t="s">
        <v>58</v>
      </c>
      <c r="C3" s="2"/>
      <c r="E3" s="3"/>
      <c r="F3" s="3"/>
    </row>
    <row r="4" spans="1:7" ht="15.75" customHeight="1" x14ac:dyDescent="0.2">
      <c r="A4" s="1"/>
      <c r="B4" s="2"/>
      <c r="C4" s="3"/>
      <c r="D4" s="3"/>
      <c r="E4" s="3"/>
      <c r="F4" s="3"/>
    </row>
    <row r="5" spans="1:7" ht="15.75" customHeight="1" x14ac:dyDescent="0.2">
      <c r="A5" s="1" t="s">
        <v>2</v>
      </c>
      <c r="B5" s="2"/>
      <c r="C5" s="3"/>
      <c r="D5" s="3"/>
      <c r="E5" s="3"/>
      <c r="F5" s="3"/>
    </row>
    <row r="6" spans="1:7" ht="64.900000000000006" customHeight="1" x14ac:dyDescent="0.2">
      <c r="A6" s="18" t="s">
        <v>59</v>
      </c>
      <c r="B6" s="19"/>
      <c r="C6" s="19"/>
      <c r="D6" s="19"/>
      <c r="E6" s="19"/>
      <c r="F6" s="3"/>
    </row>
    <row r="7" spans="1:7" ht="51" customHeight="1" x14ac:dyDescent="0.2">
      <c r="A7" s="20" t="s">
        <v>63</v>
      </c>
      <c r="B7" s="19"/>
      <c r="C7" s="19"/>
      <c r="D7" s="19"/>
      <c r="E7" s="19"/>
      <c r="F7" s="3"/>
    </row>
    <row r="8" spans="1:7" ht="15.75" customHeight="1" x14ac:dyDescent="0.2">
      <c r="A8" s="2"/>
      <c r="B8" s="2"/>
      <c r="C8" s="3"/>
      <c r="D8" s="3"/>
      <c r="E8" s="3"/>
      <c r="F8" s="3"/>
    </row>
    <row r="9" spans="1:7" ht="15.75" customHeight="1" x14ac:dyDescent="0.2">
      <c r="A9" s="2"/>
      <c r="B9" s="2"/>
      <c r="C9" s="3"/>
      <c r="D9" s="3"/>
      <c r="E9" s="3"/>
      <c r="F9" s="3"/>
    </row>
    <row r="10" spans="1:7" ht="15.75" customHeight="1" x14ac:dyDescent="0.2">
      <c r="A10" s="1" t="s">
        <v>3</v>
      </c>
      <c r="B10" s="2"/>
      <c r="C10" s="3"/>
      <c r="D10" s="21" t="s">
        <v>4</v>
      </c>
      <c r="E10" s="19"/>
      <c r="F10" s="19"/>
    </row>
    <row r="11" spans="1:7" ht="15.75" customHeight="1" x14ac:dyDescent="0.2">
      <c r="A11" s="1" t="s">
        <v>5</v>
      </c>
      <c r="B11" s="1" t="s">
        <v>6</v>
      </c>
      <c r="C11" s="10" t="s">
        <v>24</v>
      </c>
      <c r="D11" s="1" t="s">
        <v>7</v>
      </c>
      <c r="E11" s="1" t="s">
        <v>8</v>
      </c>
      <c r="F11" s="1" t="s">
        <v>9</v>
      </c>
      <c r="G11" s="1" t="s">
        <v>10</v>
      </c>
    </row>
    <row r="12" spans="1:7" ht="49.15" customHeight="1" x14ac:dyDescent="0.2">
      <c r="A12" s="4" t="s">
        <v>11</v>
      </c>
      <c r="B12" s="4" t="s">
        <v>23</v>
      </c>
      <c r="C12" s="5"/>
      <c r="D12" s="5"/>
      <c r="E12" s="11" t="s">
        <v>61</v>
      </c>
      <c r="F12" s="5"/>
      <c r="G12" s="5"/>
    </row>
    <row r="13" spans="1:7" ht="31.9" customHeight="1" x14ac:dyDescent="0.2">
      <c r="A13" s="4"/>
      <c r="B13" s="12" t="s">
        <v>26</v>
      </c>
      <c r="C13" s="5"/>
      <c r="D13" s="5"/>
      <c r="E13" s="11" t="s">
        <v>27</v>
      </c>
      <c r="F13" s="5"/>
      <c r="G13" s="5"/>
    </row>
    <row r="14" spans="1:7" ht="40.9" customHeight="1" x14ac:dyDescent="0.2">
      <c r="A14" s="4"/>
      <c r="B14" s="4" t="s">
        <v>12</v>
      </c>
      <c r="C14" s="5"/>
      <c r="D14" s="5"/>
      <c r="E14" s="11" t="s">
        <v>25</v>
      </c>
      <c r="F14" s="5"/>
      <c r="G14" s="5"/>
    </row>
    <row r="15" spans="1:7" ht="40.9" customHeight="1" x14ac:dyDescent="0.2">
      <c r="A15" s="4"/>
      <c r="B15" s="4" t="s">
        <v>65</v>
      </c>
      <c r="C15" s="5" t="s">
        <v>66</v>
      </c>
      <c r="D15" s="5"/>
      <c r="E15" s="17" t="s">
        <v>64</v>
      </c>
      <c r="F15" s="5"/>
      <c r="G15" s="5"/>
    </row>
    <row r="16" spans="1:7" ht="48" customHeight="1" x14ac:dyDescent="0.2">
      <c r="A16" s="4"/>
      <c r="B16" s="4"/>
      <c r="C16" s="5" t="s">
        <v>67</v>
      </c>
      <c r="D16" s="5"/>
      <c r="E16" s="11" t="s">
        <v>28</v>
      </c>
      <c r="F16" s="5"/>
      <c r="G16" s="5"/>
    </row>
    <row r="17" spans="1:7" ht="15.75" customHeight="1" x14ac:dyDescent="0.2">
      <c r="D17" s="6"/>
      <c r="E17" s="6"/>
      <c r="F17" s="6"/>
      <c r="G17" s="6"/>
    </row>
    <row r="18" spans="1:7" ht="50.45" customHeight="1" x14ac:dyDescent="0.2">
      <c r="A18" s="7" t="s">
        <v>13</v>
      </c>
      <c r="B18" s="13" t="s">
        <v>33</v>
      </c>
      <c r="C18" s="14"/>
      <c r="D18" s="8"/>
      <c r="E18" s="14" t="s">
        <v>53</v>
      </c>
      <c r="F18" s="8"/>
      <c r="G18" s="8"/>
    </row>
    <row r="19" spans="1:7" ht="114.6" customHeight="1" x14ac:dyDescent="0.2">
      <c r="A19" s="7"/>
      <c r="B19" s="8" t="s">
        <v>60</v>
      </c>
      <c r="C19" s="15"/>
      <c r="D19" s="8">
        <v>1</v>
      </c>
      <c r="E19" s="16" t="s">
        <v>37</v>
      </c>
      <c r="F19" s="8"/>
      <c r="G19" s="8"/>
    </row>
    <row r="20" spans="1:7" ht="29.45" customHeight="1" x14ac:dyDescent="0.2">
      <c r="A20" s="7"/>
      <c r="B20" s="13" t="s">
        <v>29</v>
      </c>
      <c r="C20" s="14" t="s">
        <v>30</v>
      </c>
      <c r="D20" s="8"/>
      <c r="E20" s="14" t="s">
        <v>34</v>
      </c>
      <c r="F20" s="8"/>
      <c r="G20" s="8"/>
    </row>
    <row r="21" spans="1:7" ht="15.75" customHeight="1" x14ac:dyDescent="0.2">
      <c r="A21" s="7"/>
      <c r="B21" s="13"/>
      <c r="C21" s="14" t="s">
        <v>31</v>
      </c>
      <c r="D21" s="8"/>
      <c r="E21" s="14" t="s">
        <v>35</v>
      </c>
      <c r="F21" s="8"/>
      <c r="G21" s="8"/>
    </row>
    <row r="22" spans="1:7" ht="29.45" customHeight="1" x14ac:dyDescent="0.2">
      <c r="A22" s="7"/>
      <c r="B22" s="13" t="s">
        <v>32</v>
      </c>
      <c r="C22" s="14"/>
      <c r="D22" s="8"/>
      <c r="E22" s="14" t="s">
        <v>36</v>
      </c>
      <c r="F22" s="8"/>
      <c r="G22" s="8"/>
    </row>
    <row r="23" spans="1:7" ht="30" customHeight="1" x14ac:dyDescent="0.2">
      <c r="A23" s="7"/>
      <c r="B23" s="7" t="s">
        <v>14</v>
      </c>
      <c r="C23" s="7" t="s">
        <v>38</v>
      </c>
      <c r="D23" s="8"/>
      <c r="E23" s="8" t="s">
        <v>42</v>
      </c>
      <c r="F23" s="8"/>
      <c r="G23" s="8"/>
    </row>
    <row r="24" spans="1:7" ht="29.45" customHeight="1" x14ac:dyDescent="0.2">
      <c r="A24" s="7"/>
      <c r="B24" s="7"/>
      <c r="C24" s="7" t="s">
        <v>39</v>
      </c>
      <c r="D24" s="8"/>
      <c r="E24" s="8" t="s">
        <v>43</v>
      </c>
      <c r="F24" s="8"/>
      <c r="G24" s="8"/>
    </row>
    <row r="25" spans="1:7" ht="46.15" customHeight="1" x14ac:dyDescent="0.2">
      <c r="A25" s="7"/>
      <c r="B25" s="7"/>
      <c r="C25" s="7" t="s">
        <v>40</v>
      </c>
      <c r="D25" s="8"/>
      <c r="E25" s="8" t="s">
        <v>44</v>
      </c>
      <c r="F25" s="8"/>
      <c r="G25" s="8"/>
    </row>
    <row r="26" spans="1:7" ht="21" customHeight="1" x14ac:dyDescent="0.2">
      <c r="A26" s="7"/>
      <c r="B26" s="7"/>
      <c r="C26" s="7" t="s">
        <v>41</v>
      </c>
      <c r="D26" s="8"/>
      <c r="E26" s="8" t="s">
        <v>45</v>
      </c>
      <c r="F26" s="8"/>
      <c r="G26" s="8"/>
    </row>
    <row r="27" spans="1:7" ht="21" customHeight="1" x14ac:dyDescent="0.2">
      <c r="A27" s="7"/>
      <c r="B27" s="7" t="s">
        <v>15</v>
      </c>
      <c r="C27" s="13" t="s">
        <v>56</v>
      </c>
      <c r="D27" s="8"/>
      <c r="E27" s="8"/>
      <c r="F27" s="8"/>
      <c r="G27" s="8"/>
    </row>
    <row r="28" spans="1:7" ht="15.75" customHeight="1" x14ac:dyDescent="0.2">
      <c r="A28" s="7"/>
      <c r="B28" s="7"/>
      <c r="C28" s="14" t="s">
        <v>46</v>
      </c>
      <c r="D28" s="8"/>
      <c r="E28" s="8"/>
      <c r="F28" s="8"/>
      <c r="G28" s="8"/>
    </row>
    <row r="29" spans="1:7" ht="15.75" customHeight="1" x14ac:dyDescent="0.2">
      <c r="D29" s="6"/>
      <c r="E29" s="6"/>
      <c r="F29" s="6"/>
      <c r="G29" s="6"/>
    </row>
    <row r="30" spans="1:7" ht="45" customHeight="1" x14ac:dyDescent="0.2">
      <c r="A30" s="4" t="s">
        <v>16</v>
      </c>
      <c r="B30" s="12" t="s">
        <v>75</v>
      </c>
      <c r="C30" s="11" t="s">
        <v>68</v>
      </c>
      <c r="D30" s="5">
        <v>1</v>
      </c>
      <c r="E30" s="17"/>
      <c r="F30" s="5"/>
      <c r="G30" s="5"/>
    </row>
    <row r="31" spans="1:7" ht="45" customHeight="1" x14ac:dyDescent="0.2">
      <c r="A31" s="4"/>
      <c r="B31" s="12"/>
      <c r="C31" s="11" t="s">
        <v>69</v>
      </c>
      <c r="D31" s="5">
        <v>1</v>
      </c>
      <c r="E31" s="17"/>
      <c r="F31" s="5"/>
      <c r="G31" s="5"/>
    </row>
    <row r="32" spans="1:7" ht="45" customHeight="1" x14ac:dyDescent="0.2">
      <c r="A32" s="4"/>
      <c r="B32" s="12"/>
      <c r="C32" s="11" t="s">
        <v>70</v>
      </c>
      <c r="D32" s="5">
        <v>2</v>
      </c>
      <c r="E32" s="17"/>
      <c r="F32" s="5"/>
      <c r="G32" s="5"/>
    </row>
    <row r="33" spans="1:7" ht="45" customHeight="1" x14ac:dyDescent="0.2">
      <c r="A33" s="4"/>
      <c r="B33" s="12"/>
      <c r="C33" s="11" t="s">
        <v>71</v>
      </c>
      <c r="D33" s="5">
        <v>11</v>
      </c>
      <c r="E33" s="17" t="s">
        <v>72</v>
      </c>
      <c r="F33" s="5"/>
      <c r="G33" s="5"/>
    </row>
    <row r="34" spans="1:7" ht="45" customHeight="1" x14ac:dyDescent="0.2">
      <c r="A34" s="4"/>
      <c r="B34" s="12" t="s">
        <v>74</v>
      </c>
      <c r="C34" s="11" t="s">
        <v>47</v>
      </c>
      <c r="D34" s="5"/>
      <c r="E34" s="17" t="s">
        <v>62</v>
      </c>
      <c r="F34" s="5"/>
      <c r="G34" s="5"/>
    </row>
    <row r="35" spans="1:7" ht="45" customHeight="1" x14ac:dyDescent="0.2">
      <c r="A35" s="4"/>
      <c r="B35" s="12" t="s">
        <v>76</v>
      </c>
      <c r="C35" s="12" t="s">
        <v>51</v>
      </c>
      <c r="D35" s="5"/>
      <c r="E35" s="11" t="s">
        <v>52</v>
      </c>
      <c r="F35" s="5"/>
      <c r="G35" s="5"/>
    </row>
    <row r="36" spans="1:7" ht="31.9" customHeight="1" x14ac:dyDescent="0.2">
      <c r="A36" s="4"/>
      <c r="B36" s="12" t="s">
        <v>77</v>
      </c>
      <c r="C36" s="11"/>
      <c r="D36" s="5"/>
      <c r="E36" s="11"/>
      <c r="F36" s="5"/>
      <c r="G36" s="5"/>
    </row>
    <row r="37" spans="1:7" ht="31.9" customHeight="1" x14ac:dyDescent="0.2">
      <c r="A37" s="4"/>
      <c r="B37" s="12" t="s">
        <v>81</v>
      </c>
      <c r="C37" s="12" t="s">
        <v>55</v>
      </c>
      <c r="D37" s="5"/>
      <c r="E37" s="11"/>
      <c r="F37" s="5"/>
      <c r="G37" s="5"/>
    </row>
    <row r="38" spans="1:7" ht="31.9" customHeight="1" x14ac:dyDescent="0.2">
      <c r="A38" s="4"/>
      <c r="B38" s="12"/>
      <c r="C38" s="12" t="s">
        <v>78</v>
      </c>
      <c r="D38" s="5"/>
      <c r="E38" s="11"/>
      <c r="F38" s="5"/>
      <c r="G38" s="5"/>
    </row>
    <row r="39" spans="1:7" ht="31.9" customHeight="1" x14ac:dyDescent="0.2">
      <c r="A39" s="4"/>
      <c r="B39" s="12"/>
      <c r="C39" s="12" t="s">
        <v>79</v>
      </c>
      <c r="D39" s="5"/>
      <c r="E39" s="11" t="s">
        <v>84</v>
      </c>
      <c r="F39" s="5"/>
      <c r="G39" s="5"/>
    </row>
    <row r="40" spans="1:7" ht="31.9" customHeight="1" x14ac:dyDescent="0.2">
      <c r="A40" s="4"/>
      <c r="B40" s="12"/>
      <c r="C40" s="12" t="s">
        <v>80</v>
      </c>
      <c r="D40" s="5"/>
      <c r="E40" s="11"/>
      <c r="F40" s="5" t="s">
        <v>85</v>
      </c>
      <c r="G40" s="5"/>
    </row>
    <row r="41" spans="1:7" ht="31.9" customHeight="1" x14ac:dyDescent="0.2">
      <c r="A41" s="4"/>
      <c r="B41" s="12" t="s">
        <v>82</v>
      </c>
      <c r="C41" s="11" t="s">
        <v>48</v>
      </c>
      <c r="D41" s="5"/>
      <c r="E41" s="11" t="s">
        <v>49</v>
      </c>
      <c r="F41" s="5"/>
      <c r="G41" s="5"/>
    </row>
    <row r="42" spans="1:7" ht="31.9" customHeight="1" x14ac:dyDescent="0.2">
      <c r="A42" s="4"/>
      <c r="B42" s="12"/>
      <c r="C42" s="12" t="s">
        <v>50</v>
      </c>
      <c r="D42" s="5"/>
      <c r="E42" s="11"/>
      <c r="F42" s="5"/>
      <c r="G42" s="5"/>
    </row>
    <row r="43" spans="1:7" ht="31.9" customHeight="1" x14ac:dyDescent="0.2">
      <c r="A43" s="4"/>
      <c r="B43" s="12" t="s">
        <v>83</v>
      </c>
      <c r="C43" s="12"/>
      <c r="D43" s="5"/>
      <c r="E43" s="11" t="s">
        <v>54</v>
      </c>
      <c r="F43" s="5"/>
      <c r="G43" s="5"/>
    </row>
    <row r="44" spans="1:7" ht="31.9" customHeight="1" x14ac:dyDescent="0.2">
      <c r="A44" s="4"/>
      <c r="B44" s="12"/>
      <c r="C44" s="12"/>
      <c r="D44" s="5"/>
      <c r="E44" s="11"/>
      <c r="F44" s="5"/>
      <c r="G44" s="5"/>
    </row>
    <row r="45" spans="1:7" ht="31.9" customHeight="1" x14ac:dyDescent="0.2">
      <c r="A45" s="4"/>
      <c r="B45" s="12"/>
      <c r="C45" s="12"/>
      <c r="D45" s="5"/>
      <c r="E45" s="11"/>
      <c r="F45" s="5"/>
      <c r="G45" s="5"/>
    </row>
    <row r="46" spans="1:7" ht="31.9" customHeight="1" x14ac:dyDescent="0.2">
      <c r="A46" s="4"/>
      <c r="B46" s="12"/>
      <c r="C46" s="12"/>
      <c r="D46" s="5"/>
      <c r="E46" s="11"/>
      <c r="F46" s="5"/>
      <c r="G46" s="5"/>
    </row>
    <row r="47" spans="1:7" ht="31.9" customHeight="1" x14ac:dyDescent="0.2">
      <c r="A47" s="4"/>
      <c r="B47" s="12"/>
      <c r="C47" s="12"/>
      <c r="D47" s="5"/>
      <c r="E47" s="11"/>
      <c r="F47" s="5"/>
      <c r="G47" s="5"/>
    </row>
    <row r="48" spans="1:7" ht="31.9" customHeight="1" x14ac:dyDescent="0.2">
      <c r="A48" s="4"/>
      <c r="B48" s="12"/>
      <c r="C48" s="12"/>
      <c r="D48" s="5"/>
      <c r="E48" s="11"/>
      <c r="F48" s="5"/>
      <c r="G48" s="5"/>
    </row>
    <row r="50" spans="1:7" ht="15.75" customHeight="1" x14ac:dyDescent="0.2">
      <c r="A50" s="7" t="s">
        <v>17</v>
      </c>
      <c r="B50" s="13" t="s">
        <v>73</v>
      </c>
      <c r="C50" s="8"/>
      <c r="D50" s="8"/>
      <c r="E50" s="8"/>
      <c r="F50" s="8"/>
      <c r="G50" s="8"/>
    </row>
    <row r="51" spans="1:7" ht="15.75" customHeight="1" x14ac:dyDescent="0.2">
      <c r="A51" s="7"/>
      <c r="B51" s="7" t="s">
        <v>18</v>
      </c>
      <c r="C51" s="8"/>
      <c r="D51" s="8"/>
      <c r="E51" s="8"/>
      <c r="F51" s="8"/>
      <c r="G51" s="8"/>
    </row>
    <row r="52" spans="1:7" ht="15.75" customHeight="1" x14ac:dyDescent="0.2">
      <c r="D52" s="6"/>
      <c r="E52" s="6"/>
      <c r="F52" s="6"/>
      <c r="G52" s="6"/>
    </row>
    <row r="53" spans="1:7" ht="15.75" customHeight="1" x14ac:dyDescent="0.2">
      <c r="A53" s="4" t="s">
        <v>19</v>
      </c>
      <c r="B53" s="4" t="s">
        <v>20</v>
      </c>
      <c r="C53" s="5"/>
      <c r="D53" s="5"/>
      <c r="E53" s="5"/>
      <c r="F53" s="5"/>
      <c r="G53" s="5"/>
    </row>
    <row r="54" spans="1:7" ht="15.75" customHeight="1" x14ac:dyDescent="0.2">
      <c r="A54" s="4"/>
      <c r="B54" s="4" t="s">
        <v>21</v>
      </c>
      <c r="C54" s="5"/>
      <c r="D54" s="5"/>
      <c r="E54" s="5"/>
      <c r="F54" s="5"/>
      <c r="G54" s="5"/>
    </row>
    <row r="56" spans="1:7" ht="15.75" customHeight="1" x14ac:dyDescent="0.2">
      <c r="C56" s="9" t="s">
        <v>22</v>
      </c>
      <c r="D56">
        <f>SUM(D12:D54)</f>
        <v>16</v>
      </c>
    </row>
  </sheetData>
  <mergeCells count="3">
    <mergeCell ref="A6:E6"/>
    <mergeCell ref="A7:E7"/>
    <mergeCell ref="D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Llanes</dc:creator>
  <cp:lastModifiedBy>Adrian Llanes</cp:lastModifiedBy>
  <dcterms:created xsi:type="dcterms:W3CDTF">2024-07-03T17:58:13Z</dcterms:created>
  <dcterms:modified xsi:type="dcterms:W3CDTF">2024-11-19T02:39:32Z</dcterms:modified>
</cp:coreProperties>
</file>